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  <sheet name="Dimensiones ver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0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DE9E2"/>
      </patternFill>
    </fill>
  </fills>
  <borders count="2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10" customWidth="1" min="4" max="4"/>
    <col width="14" customWidth="1" min="5" max="5"/>
    <col width="14" customWidth="1" min="6" max="6"/>
    <col width="42" customWidth="1" min="7" max="7"/>
  </cols>
  <sheetData>
    <row r="1">
      <c r="A1" s="1" t="inlineStr">
        <is>
          <t>Módulo sanitario — Proyecto El Túnel — Cotización de materiales</t>
        </is>
      </c>
    </row>
    <row r="2">
      <c r="A2" s="2" t="inlineStr">
        <is>
          <t>9,83 x 5,00 m · dos baños de hombres espejados · minimalista industrial (microcemento / epóxico / concreto pulido)</t>
        </is>
      </c>
    </row>
    <row r="4">
      <c r="A4" s="3" t="inlineStr">
        <is>
          <t>Categoría</t>
        </is>
      </c>
      <c r="B4" s="3" t="inlineStr">
        <is>
          <t>Material / producto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Precio unitario</t>
        </is>
      </c>
      <c r="F4" s="3" t="inlineStr">
        <is>
          <t>Precio total</t>
        </is>
      </c>
      <c r="G4" s="3" t="inlineStr">
        <is>
          <t>Nota</t>
        </is>
      </c>
    </row>
    <row r="5">
      <c r="A5" s="4" t="inlineStr">
        <is>
          <t>Piso</t>
        </is>
      </c>
      <c r="B5" s="5" t="inlineStr">
        <is>
          <t>Pintura epóxica gris cemento + imprimante</t>
        </is>
      </c>
      <c r="C5" s="6" t="n">
        <v>48.4</v>
      </c>
      <c r="D5" s="7" t="inlineStr">
        <is>
          <t>m²</t>
        </is>
      </c>
      <c r="E5" s="5" t="n"/>
      <c r="F5" s="5">
        <f>IF(E5="","",C5*E5)</f>
        <v/>
      </c>
      <c r="G5" s="5" t="inlineStr">
        <is>
          <t>2 manos, antideslizante en zona húmeda</t>
        </is>
      </c>
    </row>
    <row r="6">
      <c r="A6" s="4" t="inlineStr">
        <is>
          <t>Piso</t>
        </is>
      </c>
      <c r="B6" s="5" t="inlineStr">
        <is>
          <t>Rejilla de piso + sifón</t>
        </is>
      </c>
      <c r="C6" s="6" t="n">
        <v>2</v>
      </c>
      <c r="D6" s="7" t="inlineStr">
        <is>
          <t>un</t>
        </is>
      </c>
      <c r="E6" s="5" t="n"/>
      <c r="F6" s="5">
        <f>IF(E6="","",C6*E6)</f>
        <v/>
      </c>
      <c r="G6" s="5" t="inlineStr">
        <is>
          <t>Una por módulo, pendiente 1,5–2 %</t>
        </is>
      </c>
    </row>
    <row r="7">
      <c r="A7" s="4" t="inlineStr">
        <is>
          <t>Paredes</t>
        </is>
      </c>
      <c r="B7" s="5" t="inlineStr">
        <is>
          <t>Kit microcemento (base + microcemento + sellador)</t>
        </is>
      </c>
      <c r="C7" s="6" t="n">
        <v>107.3</v>
      </c>
      <c r="D7" s="7" t="inlineStr">
        <is>
          <t>m²</t>
        </is>
      </c>
      <c r="E7" s="5" t="n"/>
      <c r="F7" s="5">
        <f>IF(E7="","",C7*E7)</f>
        <v/>
      </c>
      <c r="G7" s="5" t="inlineStr">
        <is>
          <t>3 caras existentes + tabique (2 caras) + frente nuevo</t>
        </is>
      </c>
    </row>
    <row r="8">
      <c r="A8" s="4" t="inlineStr">
        <is>
          <t>Tabiquería</t>
        </is>
      </c>
      <c r="B8" s="5" t="inlineStr">
        <is>
          <t>Panel fenólico HPL 12–13 mm + herrajes inox.</t>
        </is>
      </c>
      <c r="C8" s="6" t="n">
        <v>6</v>
      </c>
      <c r="D8" s="7" t="inlineStr">
        <is>
          <t>cubículos</t>
        </is>
      </c>
      <c r="E8" s="5" t="n"/>
      <c r="F8" s="5">
        <f>IF(E8="","",C8*E8)</f>
        <v/>
      </c>
      <c r="G8" s="5" t="inlineStr">
        <is>
          <t>Piso a techo, sin zócalo</t>
        </is>
      </c>
    </row>
    <row r="9">
      <c r="A9" s="4" t="inlineStr">
        <is>
          <t>Tabiquería</t>
        </is>
      </c>
      <c r="B9" s="5" t="inlineStr">
        <is>
          <t>Puerta de cubículo fenólico 0,90 x 1,80 m</t>
        </is>
      </c>
      <c r="C9" s="6" t="n">
        <v>6</v>
      </c>
      <c r="D9" s="7" t="inlineStr">
        <is>
          <t>un</t>
        </is>
      </c>
      <c r="E9" s="5" t="n"/>
      <c r="F9" s="5">
        <f>IF(E9="","",C9*E9)</f>
        <v/>
      </c>
      <c r="G9" s="5" t="inlineStr">
        <is>
          <t>Con pestillo y tope</t>
        </is>
      </c>
    </row>
    <row r="10">
      <c r="A10" s="4" t="inlineStr">
        <is>
          <t>Mesón</t>
        </is>
      </c>
      <c r="B10" s="5" t="inlineStr">
        <is>
          <t>Concreto pulido + hidrofugante</t>
        </is>
      </c>
      <c r="C10" s="6" t="n">
        <v>4.08</v>
      </c>
      <c r="D10" s="7" t="inlineStr">
        <is>
          <t>m²</t>
        </is>
      </c>
      <c r="E10" s="5" t="n"/>
      <c r="F10" s="5">
        <f>IF(E10="","",C10*E10)</f>
        <v/>
      </c>
      <c r="G10" s="5" t="inlineStr">
        <is>
          <t>2,64 m² tope + 1,44 m² frente descolgado</t>
        </is>
      </c>
    </row>
    <row r="11">
      <c r="A11" s="4" t="inlineStr">
        <is>
          <t>Sanitarios</t>
        </is>
      </c>
      <c r="B11" s="5" t="inlineStr">
        <is>
          <t>Poceta (sanitario) loza blanca</t>
        </is>
      </c>
      <c r="C11" s="6" t="n">
        <v>6</v>
      </c>
      <c r="D11" s="7" t="inlineStr">
        <is>
          <t>un</t>
        </is>
      </c>
      <c r="E11" s="5" t="n"/>
      <c r="F11" s="5">
        <f>IF(E11="","",C11*E11)</f>
        <v/>
      </c>
      <c r="G11" s="5" t="inlineStr">
        <is>
          <t>Cubículo 0,90 x 1,50 m</t>
        </is>
      </c>
    </row>
    <row r="12">
      <c r="A12" s="4" t="inlineStr">
        <is>
          <t>Sanitarios</t>
        </is>
      </c>
      <c r="B12" s="5" t="inlineStr">
        <is>
          <t>Urinario suspendido loza blanca</t>
        </is>
      </c>
      <c r="C12" s="6" t="n">
        <v>8</v>
      </c>
      <c r="D12" s="7" t="inlineStr">
        <is>
          <t>un</t>
        </is>
      </c>
      <c r="E12" s="5" t="n"/>
      <c r="F12" s="5">
        <f>IF(E12="","",C12*E12)</f>
        <v/>
      </c>
      <c r="G12" s="5" t="inlineStr">
        <is>
          <t>Separación 0,75 m a eje</t>
        </is>
      </c>
    </row>
    <row r="13">
      <c r="A13" s="4" t="inlineStr">
        <is>
          <t>Sanitarios</t>
        </is>
      </c>
      <c r="B13" s="5" t="inlineStr">
        <is>
          <t>Lavamanos empotrado loza blanca</t>
        </is>
      </c>
      <c r="C13" s="6" t="n">
        <v>6</v>
      </c>
      <c r="D13" s="7" t="inlineStr">
        <is>
          <t>un</t>
        </is>
      </c>
      <c r="E13" s="5" t="n"/>
      <c r="F13" s="5">
        <f>IF(E13="","",C13*E13)</f>
        <v/>
      </c>
      <c r="G13" s="5" t="inlineStr">
        <is>
          <t>Separación 0,80 m a eje</t>
        </is>
      </c>
    </row>
    <row r="14">
      <c r="A14" s="4" t="inlineStr">
        <is>
          <t>Grifería</t>
        </is>
      </c>
      <c r="B14" s="5" t="inlineStr">
        <is>
          <t>Llave de lavamanos, negro mate</t>
        </is>
      </c>
      <c r="C14" s="6" t="n">
        <v>6</v>
      </c>
      <c r="D14" s="7" t="inlineStr">
        <is>
          <t>un</t>
        </is>
      </c>
      <c r="E14" s="5" t="n"/>
      <c r="F14" s="5">
        <f>IF(E14="","",C14*E14)</f>
        <v/>
      </c>
      <c r="G14" s="5" t="inlineStr"/>
    </row>
    <row r="15">
      <c r="A15" s="4" t="inlineStr">
        <is>
          <t>Grifería</t>
        </is>
      </c>
      <c r="B15" s="5" t="inlineStr">
        <is>
          <t>Fluxómetro / válvula de poceta</t>
        </is>
      </c>
      <c r="C15" s="6" t="n">
        <v>6</v>
      </c>
      <c r="D15" s="7" t="inlineStr">
        <is>
          <t>un</t>
        </is>
      </c>
      <c r="E15" s="5" t="n"/>
      <c r="F15" s="5">
        <f>IF(E15="","",C15*E15)</f>
        <v/>
      </c>
      <c r="G15" s="5" t="inlineStr"/>
    </row>
    <row r="16">
      <c r="A16" s="4" t="inlineStr">
        <is>
          <t>Grifería</t>
        </is>
      </c>
      <c r="B16" s="5" t="inlineStr">
        <is>
          <t>Válvula de urinario</t>
        </is>
      </c>
      <c r="C16" s="6" t="n">
        <v>8</v>
      </c>
      <c r="D16" s="7" t="inlineStr">
        <is>
          <t>un</t>
        </is>
      </c>
      <c r="E16" s="5" t="n"/>
      <c r="F16" s="5">
        <f>IF(E16="","",C16*E16)</f>
        <v/>
      </c>
      <c r="G16" s="5" t="inlineStr"/>
    </row>
    <row r="17">
      <c r="A17" s="4" t="inlineStr">
        <is>
          <t>Espejos</t>
        </is>
      </c>
      <c r="B17" s="5" t="inlineStr">
        <is>
          <t>Espejo corrido 4 mm, 2,40 m</t>
        </is>
      </c>
      <c r="C17" s="6" t="n">
        <v>2</v>
      </c>
      <c r="D17" s="7" t="inlineStr">
        <is>
          <t>un</t>
        </is>
      </c>
      <c r="E17" s="5" t="n"/>
      <c r="F17" s="5">
        <f>IF(E17="","",C17*E17)</f>
        <v/>
      </c>
      <c r="G17" s="5" t="inlineStr">
        <is>
          <t>Uno por mesón</t>
        </is>
      </c>
    </row>
    <row r="18">
      <c r="A18" s="4" t="inlineStr">
        <is>
          <t>Mobiliario</t>
        </is>
      </c>
      <c r="B18" s="5" t="inlineStr">
        <is>
          <t>Banco 1,60 x 0,45 m, concreto pulido o metal + madera</t>
        </is>
      </c>
      <c r="C18" s="6" t="n">
        <v>2</v>
      </c>
      <c r="D18" s="7" t="inlineStr">
        <is>
          <t>un</t>
        </is>
      </c>
      <c r="E18" s="5" t="n"/>
      <c r="F18" s="5">
        <f>IF(E18="","",C18*E18)</f>
        <v/>
      </c>
      <c r="G18" s="5" t="inlineStr">
        <is>
          <t>Esquina liberada de cada módulo</t>
        </is>
      </c>
    </row>
    <row r="19">
      <c r="A19" s="4" t="inlineStr">
        <is>
          <t>Puertas de acceso</t>
        </is>
      </c>
      <c r="B19" s="5" t="inlineStr">
        <is>
          <t>Puerta con cerradura, acabado negro mate</t>
        </is>
      </c>
      <c r="C19" s="6" t="n">
        <v>2</v>
      </c>
      <c r="D19" s="7" t="inlineStr">
        <is>
          <t>un</t>
        </is>
      </c>
      <c r="E19" s="5" t="n"/>
      <c r="F19" s="5">
        <f>IF(E19="","",C19*E19)</f>
        <v/>
      </c>
      <c r="G19" s="5" t="inlineStr">
        <is>
          <t>Una por módulo</t>
        </is>
      </c>
    </row>
    <row r="20">
      <c r="A20" s="4" t="inlineStr">
        <is>
          <t>Accesorios</t>
        </is>
      </c>
      <c r="B20" s="5" t="inlineStr">
        <is>
          <t>Dispensador de papel</t>
        </is>
      </c>
      <c r="C20" s="6" t="n">
        <v>2</v>
      </c>
      <c r="D20" s="7" t="inlineStr">
        <is>
          <t>un</t>
        </is>
      </c>
      <c r="E20" s="5" t="n"/>
      <c r="F20" s="5">
        <f>IF(E20="","",C20*E20)</f>
        <v/>
      </c>
      <c r="G20" s="5" t="inlineStr">
        <is>
          <t>1 por módulo, a confirmar cantidad</t>
        </is>
      </c>
    </row>
    <row r="21">
      <c r="A21" s="4" t="inlineStr">
        <is>
          <t>Accesorios</t>
        </is>
      </c>
      <c r="B21" s="5" t="inlineStr">
        <is>
          <t>Dispensador de jabón</t>
        </is>
      </c>
      <c r="C21" s="6" t="n">
        <v>2</v>
      </c>
      <c r="D21" s="7" t="inlineStr">
        <is>
          <t>un</t>
        </is>
      </c>
      <c r="E21" s="5" t="n"/>
      <c r="F21" s="5">
        <f>IF(E21="","",C21*E21)</f>
        <v/>
      </c>
      <c r="G21" s="5" t="inlineStr">
        <is>
          <t>1 por módulo, a confirmar cantidad</t>
        </is>
      </c>
    </row>
    <row r="22">
      <c r="A22" s="4" t="inlineStr">
        <is>
          <t>Accesorios</t>
        </is>
      </c>
      <c r="B22" s="5" t="inlineStr">
        <is>
          <t>Basurero</t>
        </is>
      </c>
      <c r="C22" s="6" t="n">
        <v>2</v>
      </c>
      <c r="D22" s="7" t="inlineStr">
        <is>
          <t>un</t>
        </is>
      </c>
      <c r="E22" s="5" t="n"/>
      <c r="F22" s="5">
        <f>IF(E22="","",C22*E22)</f>
        <v/>
      </c>
      <c r="G22" s="5" t="inlineStr">
        <is>
          <t>1 por módulo, a confirmar cantidad</t>
        </is>
      </c>
    </row>
    <row r="23">
      <c r="A23" s="4" t="inlineStr">
        <is>
          <t>Obra civil</t>
        </is>
      </c>
      <c r="B23" s="5" t="inlineStr">
        <is>
          <t>Bloque + friso, pared frontal nueva</t>
        </is>
      </c>
      <c r="C23" s="6" t="n">
        <v>1</v>
      </c>
      <c r="D23" s="7" t="inlineStr">
        <is>
          <t>global</t>
        </is>
      </c>
      <c r="E23" s="5" t="n"/>
      <c r="F23" s="5">
        <f>IF(E23="","",C23*E23)</f>
        <v/>
      </c>
      <c r="G23" s="5" t="inlineStr">
        <is>
          <t>Única pared nueva; las otras 3 ya existen</t>
        </is>
      </c>
    </row>
    <row r="24">
      <c r="A24" s="4" t="inlineStr">
        <is>
          <t>Instalaciones</t>
        </is>
      </c>
      <c r="B24" s="5" t="inlineStr">
        <is>
          <t>Acometida de aguas blancas + descarga a cloaca existente</t>
        </is>
      </c>
      <c r="C24" s="6" t="n">
        <v>1</v>
      </c>
      <c r="D24" s="7" t="inlineStr">
        <is>
          <t>global</t>
        </is>
      </c>
      <c r="E24" s="5" t="n"/>
      <c r="F24" s="5">
        <f>IF(E24="","",C24*E24)</f>
        <v/>
      </c>
      <c r="G24" s="5" t="inlineStr">
        <is>
          <t>Por el frente del módulo, según levantamiento</t>
        </is>
      </c>
    </row>
    <row r="26">
      <c r="E26" s="8" t="inlineStr">
        <is>
          <t>TOTAL</t>
        </is>
      </c>
      <c r="F26" s="9">
        <f>SUM(F5:F24)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0" t="inlineStr">
        <is>
          <t>Elemento</t>
        </is>
      </c>
      <c r="B1" s="10" t="inlineStr">
        <is>
          <t>Valor</t>
        </is>
      </c>
    </row>
    <row r="2">
      <c r="A2" t="inlineStr">
        <is>
          <t>Ancho libre entre muros</t>
        </is>
      </c>
      <c r="B2" t="inlineStr">
        <is>
          <t>9,83 m</t>
        </is>
      </c>
    </row>
    <row r="3">
      <c r="A3" t="inlineStr">
        <is>
          <t>Fondo</t>
        </is>
      </c>
      <c r="B3" t="inlineStr">
        <is>
          <t>5,00 m</t>
        </is>
      </c>
    </row>
    <row r="4">
      <c r="A4" t="inlineStr">
        <is>
          <t>Área bruta</t>
        </is>
      </c>
      <c r="B4" t="inlineStr">
        <is>
          <t>49,15 m²</t>
        </is>
      </c>
    </row>
    <row r="5">
      <c r="A5" t="inlineStr">
        <is>
          <t>Tabique central</t>
        </is>
      </c>
      <c r="B5" t="inlineStr">
        <is>
          <t>0,15 m</t>
        </is>
      </c>
    </row>
    <row r="6">
      <c r="A6" t="inlineStr">
        <is>
          <t>Ancho por módulo</t>
        </is>
      </c>
      <c r="B6" t="inlineStr">
        <is>
          <t>4,84 m</t>
        </is>
      </c>
    </row>
    <row r="7">
      <c r="A7" t="inlineStr">
        <is>
          <t>Área por módulo</t>
        </is>
      </c>
      <c r="B7" t="inlineStr">
        <is>
          <t>24,20 m²</t>
        </is>
      </c>
    </row>
    <row r="8">
      <c r="A8" t="inlineStr">
        <is>
          <t>Pocetas por módulo</t>
        </is>
      </c>
      <c r="B8" t="inlineStr">
        <is>
          <t>3 (0,90 x 1,50 m c/u, pegadas al tabique)</t>
        </is>
      </c>
    </row>
    <row r="9">
      <c r="A9" t="inlineStr">
        <is>
          <t>Urinarios por módulo</t>
        </is>
      </c>
      <c r="B9" t="inlineStr">
        <is>
          <t>4 (0,75 m a eje, 3,00 m corrido, paño del tabique)</t>
        </is>
      </c>
    </row>
    <row r="10">
      <c r="A10" t="inlineStr">
        <is>
          <t>Lavamanos por módulo</t>
        </is>
      </c>
      <c r="B10" t="inlineStr">
        <is>
          <t>3 (mesón corrido 2,40 m, muro exterior)</t>
        </is>
      </c>
    </row>
    <row r="11">
      <c r="A11" t="inlineStr">
        <is>
          <t>Banco por módulo</t>
        </is>
      </c>
      <c r="B11" t="inlineStr">
        <is>
          <t>1,60 x 0,45 m, esquina liberada junto al muro exterior</t>
        </is>
      </c>
    </row>
    <row r="12">
      <c r="A12" t="inlineStr">
        <is>
          <t>Puertas de acceso</t>
        </is>
      </c>
      <c r="B12" t="inlineStr">
        <is>
          <t>extremos opuestos del frente (izquierda y derecha)</t>
        </is>
      </c>
    </row>
    <row r="13">
      <c r="A13" t="inlineStr">
        <is>
          <t>Total piezas sanitarias</t>
        </is>
      </c>
      <c r="B13" t="inlineStr">
        <is>
          <t>20 (6 pocetas + 8 urinarios + 6 lavamanos)</t>
        </is>
      </c>
    </row>
    <row r="14">
      <c r="A14" t="inlineStr">
        <is>
          <t>Método de verificación</t>
        </is>
      </c>
      <c r="B14" t="inlineStr">
        <is>
          <t>shapely (área por polígono + comprobación de solapes)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2026-08-31T03:29:08Z</dcterms:created>
  <dcterms:modified xsi:type="dcterms:W3CDTF">2026-08-31T03:29:08Z</dcterms:modified>
</cp:coreProperties>
</file>